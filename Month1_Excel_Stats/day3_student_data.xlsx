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2F3BF178-B04B-42E5-9CE8-9C538D077598}" xr6:coauthVersionLast="47" xr6:coauthVersionMax="47" xr10:uidLastSave="{00000000-0000-0000-0000-000000000000}"/>
  <bookViews>
    <workbookView xWindow="-108" yWindow="-108" windowWidth="23256" windowHeight="12456" activeTab="1" xr2:uid="{501C390A-B10D-404C-955E-E2A7499A10B3}"/>
  </bookViews>
  <sheets>
    <sheet name="Student performance data" sheetId="1" r:id="rId1"/>
    <sheet name="Scholarship_Data" sheetId="2" r:id="rId2"/>
  </sheets>
  <definedNames>
    <definedName name="_xlnm._FilterDatabase" localSheetId="0" hidden="1">'Student performance data'!$A$1:$D$6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C6" i="2"/>
  <c r="F3" i="2"/>
  <c r="F4" i="2"/>
  <c r="F5" i="2"/>
  <c r="F2" i="2"/>
  <c r="C3" i="2"/>
  <c r="C4" i="2"/>
  <c r="C5" i="2"/>
  <c r="C2" i="2"/>
  <c r="B21" i="1"/>
  <c r="B20" i="1"/>
  <c r="B19" i="1"/>
  <c r="D2" i="1"/>
  <c r="D3" i="1"/>
  <c r="D5" i="1"/>
  <c r="D6" i="1"/>
  <c r="D7" i="1"/>
  <c r="D8" i="1"/>
  <c r="D4" i="1"/>
  <c r="I9" i="1"/>
  <c r="I8" i="1"/>
  <c r="I7" i="1"/>
  <c r="B14" i="1"/>
  <c r="B15" i="1"/>
  <c r="B16" i="1"/>
  <c r="B17" i="1"/>
  <c r="E8" i="1"/>
  <c r="F8" i="1"/>
  <c r="E7" i="1"/>
  <c r="F7" i="1"/>
  <c r="F3" i="1"/>
  <c r="F4" i="1"/>
  <c r="F5" i="1"/>
  <c r="F6" i="1"/>
  <c r="F2" i="1"/>
  <c r="E3" i="1"/>
  <c r="E4" i="1"/>
  <c r="E5" i="1"/>
  <c r="E6" i="1"/>
  <c r="E2" i="1"/>
  <c r="B18" i="1" l="1"/>
  <c r="I3" i="1"/>
  <c r="I4" i="1"/>
  <c r="I2" i="1"/>
</calcChain>
</file>

<file path=xl/sharedStrings.xml><?xml version="1.0" encoding="utf-8"?>
<sst xmlns="http://schemas.openxmlformats.org/spreadsheetml/2006/main" count="59" uniqueCount="46">
  <si>
    <t>Name</t>
  </si>
  <si>
    <t>Marks</t>
  </si>
  <si>
    <t>City</t>
  </si>
  <si>
    <t>Grade</t>
  </si>
  <si>
    <t>Asha</t>
  </si>
  <si>
    <t>Pune</t>
  </si>
  <si>
    <t>Rohan</t>
  </si>
  <si>
    <t>Mumbai</t>
  </si>
  <si>
    <t>Meena</t>
  </si>
  <si>
    <t>Kunal</t>
  </si>
  <si>
    <t>Delhi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</si>
  <si>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</si>
  <si>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</si>
  <si>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</si>
  <si>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</si>
  <si>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</si>
  <si>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</si>
  <si>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</si>
  <si>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</si>
  <si>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</si>
  <si>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</si>
  <si>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</si>
  <si>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</si>
  <si>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</si>
  <si>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</si>
  <si>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</si>
  <si>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</si>
  <si>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</si>
  <si>
    <t>Result</t>
  </si>
  <si>
    <t>Performance</t>
  </si>
  <si>
    <t>Vaishali</t>
  </si>
  <si>
    <t>Parth</t>
  </si>
  <si>
    <t>Count</t>
  </si>
  <si>
    <t>A</t>
  </si>
  <si>
    <t>B</t>
  </si>
  <si>
    <t>C</t>
  </si>
  <si>
    <t>Average Marks</t>
  </si>
  <si>
    <t>Number of grade A students</t>
  </si>
  <si>
    <t>Number of students from Pune</t>
  </si>
  <si>
    <t>Average marks of Pune students</t>
  </si>
  <si>
    <t>Average marks of grade A students</t>
  </si>
  <si>
    <t>Scholarship Amount</t>
  </si>
  <si>
    <t>Aman</t>
  </si>
  <si>
    <t>Scholarsip</t>
  </si>
  <si>
    <t>Scholarship</t>
  </si>
  <si>
    <t>Rupesh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</si>
</sst>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  <xf numFmtId="0" fontId="0" fillId="2" borderId="0" xfId="0" applyFill="1"/>
    <xf numFmtId="0" fontId="0" fillId="3" borderId="0" xfId="0" applyFill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/>
    <xf numFmtId="0" fontId="4" fillId="0" borderId="0" xfId="0" applyFont="1" applyAlignment="1">
      <alignment horizontal="center"/>
    </xf>
    <xf numFmtId="0" fontId="5" fillId="4" borderId="0" xfId="0" applyFont="1" applyFill="1" applyAlignment="1">
      <alignment vertical="center" wrapText="1"/>
    </xf>
    <xf numFmtId="0" fontId="5" fillId="4" borderId="0" xfId="0" applyFont="1" applyFill="1"/>
    <xf numFmtId="0" fontId="5" fillId="5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Grade Distribution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'Student performance data'!$I$1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88-4A61-93DE-EDE6FF0932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A89-4B71-8A12-7A879ED73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988-4A61-93DE-EDE6FF09324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89-4B71-8A12-7A879ED73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'Student performance data'!$H$2:$H$4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'Student performance data'!$I$2:$I$4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B71-8A12-7A879ED73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City-wise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'Student performance data'!$I$6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'Student performance data'!$H$7:$H$9</c:f>
              <c:strCache>
                <c:ptCount val="3"/>
                <c:pt idx="0">
                  <c:v>Pune</c:v>
                </c:pt>
                <c:pt idx="1">
                  <c:v>Mumbai</c:v>
                </c:pt>
                <c:pt idx="2">
                  <c:v>Delhi</c:v>
                </c:pt>
              </c:strCache>
            </c:strRef>
          </c:cat>
          <c:val>
            <c:numRef>
              <c:f>'Student performance data'!$I$7:$I$9</c:f>
              <c:numCache>
                <c:formatCode>General</c:formatCode>
                <c:ptCount val="3"/>
                <c:pt idx="0">
                  <c:v>84</c:v>
                </c:pt>
                <c:pt idx="1">
                  <c:v>67.5</c:v>
                </c:pt>
                <c:pt idx="2">
                  <c:v>66.333333333333329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4-4D89-BD12-5C9C35BB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142335"/>
        <c:axId val="1211341167"/>
      </c:barChart>
      <c:catAx>
        <c:axId val="121114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41167"/>
        <c:crosses val="autoZero"/>
        <c:auto val="1"/>
        <c:lblAlgn val="ctr"/>
        <c:lblOffset val="100"/>
        <c:noMultiLvlLbl val="0"/>
      </c:catAx>
      <c:valAx>
        <c:axId val="121134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14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15</xdr:row>
      <xdr:rowOff>102870</xdr:rowOff>
    </xdr:from>
    <xdr:to>
      <xdr:col>10</xdr:col>
      <xdr:colOff>160020</xdr:colOff>
      <xdr:row>30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D893E3-AF65-5AFF-E1D5-147E8AAD6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15</xdr:row>
      <xdr:rowOff>125730</xdr:rowOff>
    </xdr:from>
    <xdr:to>
      <xdr:col>18</xdr:col>
      <xdr:colOff>91440</xdr:colOff>
      <xdr:row>30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D49BCA-FCF0-795E-FA01-D0C52CDB4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zoomScaleNormal="100" workbookViewId="0">
      <selection activeCell="L3" sqref="L3"/>
    </sheetView>
  </sheetViews>
  <sheetFormatPr defaultRowHeight="14.4" x14ac:dyDescent="0.3"/>
  <cols>
    <col min="1" max="1" width="29.6640625" customWidth="1"/>
    <col min="2" max="2" width="13.21875" bestFit="1" customWidth="1"/>
    <col min="3" max="3" width="14.77734375" bestFit="1" customWidth="1"/>
    <col min="6" max="6" width="20" customWidth="1"/>
    <col min="9" max="9" width="12.77734375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28</v>
      </c>
      <c r="F1" s="2" t="s">
        <v>29</v>
      </c>
      <c r="H1" s="3" t="s">
        <v>3</v>
      </c>
      <c r="I1" s="3" t="s">
        <v>32</v>
      </c>
    </row>
    <row r="2" spans="1:23" x14ac:dyDescent="0.3">
      <c r="A2" s="1" t="s">
        <v>4</v>
      </c>
      <c r="B2" s="1">
        <v>78</v>
      </c>
      <c r="C2" s="1" t="s">
        <v>5</v>
      </c>
      <c r="D2" s="1" t="str">
        <f t="shared" ref="D2:D3" si="0">IF(B2&gt;=85, "A", IF(B2&gt;=75, "B", IF(B2&gt;=65, "C", "D")))</f>
        <v>B</v>
      </c>
      <c r="E2" t="str">
        <f>IF(B2&gt;=60,"Pass","Fail")</f>
        <v>Pass</v>
      </c>
      <c r="F2" t="str">
        <f>IF(B2&gt;=85, "Excellent", IF(B2&gt;=70, "Good", "Needs Improvement"))</f>
        <v>Good</v>
      </c>
      <c r="G2" s="3"/>
      <c r="H2" s="3" t="s">
        <v>33</v>
      </c>
      <c r="I2" s="3">
        <f>COUNTIF(D:D, "A")</f>
        <v>2</v>
      </c>
      <c r="J2" s="6"/>
    </row>
    <row r="3" spans="1:23" x14ac:dyDescent="0.3">
      <c r="A3" s="1" t="s">
        <v>9</v>
      </c>
      <c r="B3" s="1">
        <v>55</v>
      </c>
      <c r="C3" s="1" t="s">
        <v>10</v>
      </c>
      <c r="D3" s="1" t="str">
        <f t="shared" si="0"/>
        <v>D</v>
      </c>
      <c r="E3" t="str">
        <f t="shared" ref="E3:E8" si="1">IF(B3&gt;=60,"Pass","Fail")</f>
        <v>Fail</v>
      </c>
      <c r="F3" t="str">
        <f t="shared" ref="F3:F8" si="2">IF(B3&gt;=85, "Excellent", IF(B3&gt;=70, "Good", "Needs Improvement"))</f>
        <v>Needs Improvement</v>
      </c>
      <c r="G3" s="3"/>
      <c r="H3" s="3" t="s">
        <v>34</v>
      </c>
      <c r="I3" s="3">
        <f>COUNTIF(D:D,"B")</f>
        <v>1</v>
      </c>
      <c r="J3" s="6"/>
    </row>
    <row r="4" spans="1:23" x14ac:dyDescent="0.3">
      <c r="A4" s="1" t="s">
        <v>8</v>
      </c>
      <c r="B4" s="1">
        <v>90</v>
      </c>
      <c r="C4" s="1" t="s">
        <v>5</v>
      </c>
      <c r="D4" s="1" t="str">
        <f>IF(B4&gt;=85, "A", IF(B4&gt;=75, "B", IF(B4&gt;=65, "C", "D")))</f>
        <v>A</v>
      </c>
      <c r="E4" t="str">
        <f t="shared" si="1"/>
        <v>Pass</v>
      </c>
      <c r="F4" t="str">
        <f t="shared" si="2"/>
        <v>Excellent</v>
      </c>
      <c r="G4" s="3"/>
      <c r="H4" s="3" t="s">
        <v>35</v>
      </c>
      <c r="I4" s="3">
        <f>COUNTIF(D:D,"C")</f>
        <v>2</v>
      </c>
      <c r="J4" s="6"/>
    </row>
    <row r="5" spans="1:23" x14ac:dyDescent="0.3">
      <c r="A5" s="1" t="s">
        <v>11</v>
      </c>
      <c r="B5" s="1">
        <v>70</v>
      </c>
      <c r="C5" s="1" t="s">
        <v>7</v>
      </c>
      <c r="D5" s="1" t="str">
        <f t="shared" ref="D5:D8" si="3">IF(B5&gt;=85, "A", IF(B5&gt;=75, "B", IF(B5&gt;=65, "C", "D")))</f>
        <v>C</v>
      </c>
      <c r="E5" t="str">
        <f t="shared" si="1"/>
        <v>Pass</v>
      </c>
      <c r="F5" t="str">
        <f t="shared" si="2"/>
        <v>Good</v>
      </c>
      <c r="J5" s="6"/>
      <c r="U5" s="6" t="s">
        <v>16</v>
      </c>
      <c r="V5" s="6"/>
      <c r="W5" s="6"/>
    </row>
    <row r="6" spans="1:23" x14ac:dyDescent="0.3">
      <c r="A6" s="1" t="s">
        <v>6</v>
      </c>
      <c r="B6" s="1">
        <v>65</v>
      </c>
      <c r="C6" s="1" t="s">
        <v>7</v>
      </c>
      <c r="D6" s="1" t="str">
        <f t="shared" si="3"/>
        <v>C</v>
      </c>
      <c r="E6" t="str">
        <f t="shared" si="1"/>
        <v>Pass</v>
      </c>
      <c r="F6" t="str">
        <f t="shared" si="2"/>
        <v>Needs Improvement</v>
      </c>
      <c r="H6" s="3" t="s">
        <v>2</v>
      </c>
      <c r="I6" s="3" t="s">
        <v>36</v>
      </c>
      <c r="J6" s="6"/>
      <c r="U6" s="7"/>
      <c r="V6" s="6"/>
      <c r="W6" s="6"/>
    </row>
    <row r="7" spans="1:23" x14ac:dyDescent="0.3">
      <c r="A7" s="1" t="s">
        <v>30</v>
      </c>
      <c r="B7" s="1">
        <v>85</v>
      </c>
      <c r="C7" s="1" t="s">
        <v>10</v>
      </c>
      <c r="D7" s="1" t="str">
        <f t="shared" si="3"/>
        <v>A</v>
      </c>
      <c r="E7" t="str">
        <f t="shared" si="1"/>
        <v>Pass</v>
      </c>
      <c r="F7" t="str">
        <f t="shared" si="2"/>
        <v>Excellent</v>
      </c>
      <c r="H7" s="3" t="s">
        <v>5</v>
      </c>
      <c r="I7">
        <f>AVERAGEIF(C:C, "Pune", B:B)</f>
        <v>84</v>
      </c>
      <c r="J7" s="6"/>
      <c r="U7" s="7" t="s">
        <v>17</v>
      </c>
      <c r="V7" s="6"/>
      <c r="W7" s="6"/>
    </row>
    <row r="8" spans="1:23" x14ac:dyDescent="0.3">
      <c r="A8" s="1" t="s">
        <v>31</v>
      </c>
      <c r="B8" s="1">
        <v>59</v>
      </c>
      <c r="C8" s="1" t="s">
        <v>10</v>
      </c>
      <c r="D8" s="1" t="str">
        <f t="shared" si="3"/>
        <v>D</v>
      </c>
      <c r="E8" t="str">
        <f t="shared" si="1"/>
        <v>Fail</v>
      </c>
      <c r="F8" t="str">
        <f t="shared" si="2"/>
        <v>Needs Improvement</v>
      </c>
      <c r="H8" s="3" t="s">
        <v>7</v>
      </c>
      <c r="I8">
        <f>AVERAGEIF(C:C, "Mumbai", B:B)</f>
        <v>67.5</v>
      </c>
      <c r="J8" s="6"/>
      <c r="U8" s="7"/>
      <c r="V8" s="6"/>
      <c r="W8" s="6"/>
    </row>
    <row r="9" spans="1:23" x14ac:dyDescent="0.3">
      <c r="H9" s="3" t="s">
        <v>10</v>
      </c>
      <c r="I9">
        <f>AVERAGEIF(C:C, "Delhi", B:B)</f>
        <v>66.333333333333329</v>
      </c>
      <c r="J9" s="6"/>
      <c r="U9" s="7" t="s">
        <v>18</v>
      </c>
      <c r="V9" s="6"/>
      <c r="W9" s="6"/>
    </row>
    <row r="10" spans="1:23" x14ac:dyDescent="0.3">
      <c r="J10" s="6"/>
      <c r="U10" s="7"/>
      <c r="V10" s="6"/>
      <c r="W10" s="6"/>
    </row>
    <row r="11" spans="1:23" x14ac:dyDescent="0.3">
      <c r="J11" s="6"/>
      <c r="U11" s="7" t="s">
        <v>19</v>
      </c>
      <c r="V11" s="6"/>
      <c r="W11" s="6"/>
    </row>
    <row r="12" spans="1:23" x14ac:dyDescent="0.3">
      <c r="J12" s="6"/>
      <c r="U12" s="7"/>
      <c r="V12" s="6"/>
      <c r="W12" s="6"/>
    </row>
    <row r="13" spans="1:23" x14ac:dyDescent="0.3">
      <c r="J13" s="6"/>
      <c r="U13" s="7" t="s">
        <v>20</v>
      </c>
      <c r="V13" s="6"/>
      <c r="W13" s="6"/>
    </row>
    <row r="14" spans="1:23" x14ac:dyDescent="0.3">
      <c r="A14" s="4" t="s">
        <v>12</v>
      </c>
      <c r="B14" s="3">
        <f>AVERAGE(B2:B8)</f>
        <v>71.714285714285708</v>
      </c>
      <c r="J14" s="6"/>
      <c r="U14" s="7"/>
      <c r="V14" s="6"/>
      <c r="W14" s="6"/>
    </row>
    <row r="15" spans="1:23" x14ac:dyDescent="0.3">
      <c r="A15" s="5" t="s">
        <v>13</v>
      </c>
      <c r="B15" s="3">
        <f>SUM(B2:B8)</f>
        <v>502</v>
      </c>
      <c r="J15" s="6"/>
      <c r="U15" s="7" t="s">
        <v>21</v>
      </c>
      <c r="V15" s="6"/>
      <c r="W15" s="6"/>
    </row>
    <row r="16" spans="1:23" x14ac:dyDescent="0.3">
      <c r="A16" s="4" t="s">
        <v>14</v>
      </c>
      <c r="B16" s="3">
        <f>MAX(B2:B8)</f>
        <v>90</v>
      </c>
      <c r="J16" s="6"/>
      <c r="U16" s="7"/>
      <c r="V16" s="6"/>
      <c r="W16" s="6"/>
    </row>
    <row r="17" spans="1:23" x14ac:dyDescent="0.3">
      <c r="A17" s="5" t="s">
        <v>15</v>
      </c>
      <c r="B17" s="3">
        <f>MIN(B2:B8)</f>
        <v>55</v>
      </c>
      <c r="J17" s="6"/>
      <c r="U17" s="7" t="s">
        <v>22</v>
      </c>
      <c r="V17" s="6"/>
      <c r="W17" s="6"/>
    </row>
    <row r="18" spans="1:23" x14ac:dyDescent="0.3">
      <c r="A18" s="9" t="s">
        <v>37</v>
      </c>
      <c r="B18">
        <f>COUNTIF(D2:D8, "A")</f>
        <v>2</v>
      </c>
      <c r="J18" s="6"/>
      <c r="U18" s="7"/>
      <c r="V18" s="6"/>
      <c r="W18" s="6"/>
    </row>
    <row r="19" spans="1:23" x14ac:dyDescent="0.3">
      <c r="A19" s="10" t="s">
        <v>38</v>
      </c>
      <c r="B19">
        <f>COUNTIF(C2:C8, "Pune")</f>
        <v>2</v>
      </c>
      <c r="J19" s="6"/>
      <c r="U19" s="7" t="s">
        <v>23</v>
      </c>
      <c r="V19" s="6"/>
      <c r="W19" s="6"/>
    </row>
    <row r="20" spans="1:23" x14ac:dyDescent="0.3">
      <c r="A20" s="9" t="s">
        <v>39</v>
      </c>
      <c r="B20">
        <f>AVERAGEIF(C2:C8, "Pune", B2:B8)</f>
        <v>84</v>
      </c>
      <c r="J20" s="6"/>
      <c r="U20" s="7"/>
      <c r="V20" s="6"/>
      <c r="W20" s="6"/>
    </row>
    <row r="21" spans="1:23" x14ac:dyDescent="0.3">
      <c r="A21" s="10" t="s">
        <v>40</v>
      </c>
      <c r="B21">
        <f>AVERAGEIF(D2:D8, "A", B2:B8)</f>
        <v>87.5</v>
      </c>
      <c r="J21" s="6"/>
      <c r="U21" s="7" t="s">
        <v>24</v>
      </c>
      <c r="V21" s="6"/>
      <c r="W21" s="6"/>
    </row>
    <row r="22" spans="1:23" x14ac:dyDescent="0.3">
      <c r="J22" s="6"/>
      <c r="U22" s="7"/>
      <c r="V22" s="6"/>
      <c r="W22" s="6"/>
    </row>
    <row r="23" spans="1:23" x14ac:dyDescent="0.3">
      <c r="J23" s="6"/>
      <c r="U23" s="7" t="s">
        <v>25</v>
      </c>
      <c r="V23" s="6"/>
      <c r="W23" s="6"/>
    </row>
    <row r="24" spans="1:23" x14ac:dyDescent="0.3">
      <c r="J24" s="6"/>
      <c r="U24" s="7"/>
      <c r="V24" s="6"/>
      <c r="W24" s="6"/>
    </row>
    <row r="25" spans="1:23" x14ac:dyDescent="0.3">
      <c r="J25" s="6"/>
      <c r="U25" s="7"/>
      <c r="V25" s="6"/>
      <c r="W25" s="6"/>
    </row>
    <row r="26" spans="1:23" x14ac:dyDescent="0.3">
      <c r="J26" s="6"/>
      <c r="U26" s="8"/>
      <c r="V26" s="6"/>
      <c r="W26" s="6"/>
    </row>
    <row r="27" spans="1:23" x14ac:dyDescent="0.3">
      <c r="U27" s="8" t="s">
        <v>26</v>
      </c>
      <c r="V27" s="6"/>
      <c r="W27" s="6"/>
    </row>
    <row r="28" spans="1:23" x14ac:dyDescent="0.3">
      <c r="U28" s="8"/>
      <c r="V28" s="6"/>
      <c r="W28" s="6"/>
    </row>
    <row r="29" spans="1:23" x14ac:dyDescent="0.3">
      <c r="U29" s="8" t="s">
        <v>27</v>
      </c>
      <c r="V29" s="6"/>
      <c r="W29" s="6"/>
    </row>
  </sheetData>
  <sortState xmlns:xlrd2="http://schemas.microsoft.com/office/spreadsheetml/2017/richdata2" ref="A2:D6">
    <sortCondition ref="A2:A6"/>
  </sortState>
  <phoneticPr fontId="2" type="noConversion"/>
  <conditionalFormatting sqref="B2:B8">
    <cfRule type="cellIs" dxfId="1" priority="1" operator="lessThan">
      <formula>60</formula>
    </cfRule>
    <cfRule type="cellIs" dxfId="0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76DD6-1F75-4B87-9A8C-4F642DE7CDD6}">
  <dimension ref="A1:F6"/>
  <sheetViews>
    <sheetView tabSelected="1" workbookViewId="0">
      <selection activeCell="E16" sqref="E16"/>
    </sheetView>
  </sheetViews>
  <sheetFormatPr defaultRowHeight="14.4" x14ac:dyDescent="0.3"/>
  <cols>
    <col min="1" max="1" width="17.6640625" customWidth="1"/>
    <col min="2" max="2" width="25" customWidth="1"/>
    <col min="3" max="3" width="19.44140625" customWidth="1"/>
    <col min="6" max="6" width="18.44140625" customWidth="1"/>
  </cols>
  <sheetData>
    <row r="1" spans="1:6" ht="18" x14ac:dyDescent="0.35">
      <c r="A1" s="11" t="s">
        <v>0</v>
      </c>
      <c r="B1" s="11" t="s">
        <v>41</v>
      </c>
      <c r="C1" s="14" t="s">
        <v>43</v>
      </c>
      <c r="F1" s="14" t="s">
        <v>44</v>
      </c>
    </row>
    <row r="2" spans="1:6" ht="18" x14ac:dyDescent="0.3">
      <c r="A2" s="15" t="s">
        <v>4</v>
      </c>
      <c r="B2" s="12">
        <v>5000</v>
      </c>
      <c r="C2">
        <f>VLOOKUP(A2,Scholarship_Data!A:B,2,FALSE)</f>
        <v>5000</v>
      </c>
      <c r="F2">
        <f>_xlfn.XLOOKUP(A2,Scholarship_Data!A:A,Scholarship_Data!B:B,"Not Eligible")</f>
        <v>5000</v>
      </c>
    </row>
    <row r="3" spans="1:6" ht="18" x14ac:dyDescent="0.3">
      <c r="A3" s="17" t="s">
        <v>8</v>
      </c>
      <c r="B3" s="12">
        <v>7000</v>
      </c>
      <c r="C3">
        <f>VLOOKUP(A3,Scholarship_Data!A:B,2,FALSE)</f>
        <v>7000</v>
      </c>
      <c r="F3">
        <f>_xlfn.XLOOKUP(A3,Scholarship_Data!A:A,Scholarship_Data!B:B,"Not Eligible")</f>
        <v>7000</v>
      </c>
    </row>
    <row r="4" spans="1:6" ht="18" x14ac:dyDescent="0.3">
      <c r="A4" s="15" t="s">
        <v>42</v>
      </c>
      <c r="B4" s="12">
        <v>6000</v>
      </c>
      <c r="C4">
        <f>VLOOKUP(A4,Scholarship_Data!A:B,2,FALSE)</f>
        <v>6000</v>
      </c>
      <c r="F4">
        <f>_xlfn.XLOOKUP(A4,Scholarship_Data!A:A,Scholarship_Data!B:B,"Not Eligible")</f>
        <v>6000</v>
      </c>
    </row>
    <row r="5" spans="1:6" ht="18" x14ac:dyDescent="0.3">
      <c r="A5" s="17" t="s">
        <v>11</v>
      </c>
      <c r="B5" s="12">
        <v>4000</v>
      </c>
      <c r="C5">
        <f>VLOOKUP(A5,Scholarship_Data!A:B,2,FALSE)</f>
        <v>4000</v>
      </c>
      <c r="F5">
        <f>_xlfn.XLOOKUP(A5,Scholarship_Data!A:A,Scholarship_Data!B:B,"Not Eligible")</f>
        <v>4000</v>
      </c>
    </row>
    <row r="6" spans="1:6" ht="18" x14ac:dyDescent="0.35">
      <c r="A6" s="16" t="s">
        <v>45</v>
      </c>
      <c r="B6" s="13">
        <v>5432.9</v>
      </c>
      <c r="C6">
        <f>VLOOKUP(A6,Scholarship_Data!A:B,2,FALSE)</f>
        <v>5432.9</v>
      </c>
      <c r="F6">
        <f>_xlfn.XLOOKUP(A6,Scholarship_Data!A:A,Scholarship_Data!B:B,"Not Eligible")</f>
        <v>5432.9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 performance data</vt:lpstr>
      <vt:lpstr>Scholarship_Data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2026-02-14T16:26:52Z</dcterms:modified>
</cp:coreProperties>
</file>
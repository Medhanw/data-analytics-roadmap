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esktop\Medha\data-analytics-roadmap\Month1_Excel_Stats\"/>
    </mc:Choice>
  </mc:AlternateContent>
  <xr:revisionPtr revIDLastSave="0" documentId="13_ncr:1_{0CCD0B34-4C88-4544-BCAF-0846F38F55F8}" xr6:coauthVersionLast="47" xr6:coauthVersionMax="47" xr10:uidLastSave="{00000000-0000-0000-0000-000000000000}"/>
  <bookViews>
    <workbookView xWindow="-108" yWindow="-108" windowWidth="23256" windowHeight="12456" xr2:uid="{501C390A-B10D-404C-955E-E2A7499A10B3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B14" i="1"/>
  <c r="B15" i="1"/>
  <c r="B16" i="1"/>
  <c r="B17" i="1"/>
  <c r="E8" i="1"/>
  <c r="F8" i="1"/>
  <c r="E7" i="1"/>
  <c r="F7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<sst xmlns="http://schemas.openxmlformats.org/spreadsheetml/2006/main" count="36" uniqueCount="32">
  <si>
    <t>Name</t>
  </si>
  <si>
    <t>Marks</t>
  </si>
  <si>
    <t>City</t>
  </si>
  <si>
    <t>Grade</t>
  </si>
  <si>
    <t>Asha</t>
  </si>
  <si>
    <t>Pune</t>
  </si>
  <si>
    <t>Rohan</t>
  </si>
  <si>
    <t>Mumbai</t>
  </si>
  <si>
    <t>Meena</t>
  </si>
  <si>
    <t>Kunal</t>
  </si>
  <si>
    <t>Delhi</t>
  </si>
  <si>
    <t>Priya</t>
  </si>
  <si>
    <t>Mean</t>
  </si>
  <si>
    <t>Total</t>
  </si>
  <si>
    <t>Highest</t>
  </si>
  <si>
    <t>Lowest</t>
  </si>
  <si>
    <t>perform:</t>
  </si>
  <si>
    <t>1. Sorting:</t>
  </si>
  <si>
    <t>Sort Marks from highest to lowest</t>
  </si>
  <si>
    <t>Sort Names alphabetically</t>
  </si>
  <si>
    <t>2. Filtering:</t>
  </si>
  <si>
    <t>Filter students only from Pune</t>
  </si>
  <si>
    <t>Filter students with Grade A</t>
  </si>
  <si>
    <t>Filter students with Marks &gt; 70</t>
  </si>
  <si>
    <t>3. Conditional Formatting:</t>
  </si>
  <si>
    <t>Highlight:</t>
  </si>
  <si>
    <t>Marks above 80 → green</t>
  </si>
  <si>
    <t>Marks below 60 → red</t>
  </si>
  <si>
    <t>Result</t>
  </si>
  <si>
    <t>Performance</t>
  </si>
  <si>
    <t>Vaishali</t>
  </si>
  <si>
    <t>Parth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</si>
</sst>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00B4-ADD8-4A71-A0F6-86B8D0451D23}">
  <dimension ref="A1:W29"/>
  <sheetViews>
    <sheetView tabSelected="1" zoomScaleNormal="100" workbookViewId="0">
      <selection activeCell="K4" sqref="K4"/>
    </sheetView>
  </sheetViews>
  <sheetFormatPr defaultRowHeight="14.4" x14ac:dyDescent="0.3"/>
  <cols>
    <col min="1" max="1" width="13.21875" customWidth="1"/>
    <col min="2" max="2" width="13.21875" bestFit="1" customWidth="1"/>
    <col min="3" max="3" width="14.77734375" bestFit="1" customWidth="1"/>
    <col min="6" max="6" width="20" customWidth="1"/>
  </cols>
  <sheetData>
    <row r="1" spans="1:23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29</v>
      </c>
    </row>
    <row r="2" spans="1:23" x14ac:dyDescent="0.3">
      <c r="A2" s="1" t="s">
        <v>4</v>
      </c>
      <c r="B2" s="1">
        <v>78</v>
      </c>
      <c r="C2" s="1" t="s">
        <v>5</v>
      </c>
      <c r="D2" s="1" t="str">
        <f>IF(B2&gt;=85, "A+", IF(B2&gt;=75, "A", IF(B2&gt;=65, "B", "C")))</f>
        <v>A</v>
      </c>
      <c r="E2" t="str">
        <f>IF(B2&gt;=60,"Pass","Fail")</f>
        <v>Pass</v>
      </c>
      <c r="F2" t="str">
        <f>IF(B2&gt;=85, "Excellent", IF(B2&gt;=70, "Good", "Needs Improvement"))</f>
        <v>Good</v>
      </c>
      <c r="J2" s="6"/>
    </row>
    <row r="3" spans="1:23" x14ac:dyDescent="0.3">
      <c r="A3" s="1" t="s">
        <v>9</v>
      </c>
      <c r="B3" s="1">
        <v>55</v>
      </c>
      <c r="C3" s="1" t="s">
        <v>10</v>
      </c>
      <c r="D3" s="1" t="str">
        <f t="shared" ref="D3:D8" si="0">IF(B3&gt;=85, "A+", IF(B3&gt;=75, "A", IF(B3&gt;=65, "B", "C")))</f>
        <v>C</v>
      </c>
      <c r="E3" t="str">
        <f t="shared" ref="E3:E8" si="1">IF(B3&gt;=60,"Pass","Fail")</f>
        <v>Fail</v>
      </c>
      <c r="F3" t="str">
        <f t="shared" ref="F3:F8" si="2">IF(B3&gt;=85, "Excellent", IF(B3&gt;=70, "Good", "Needs Improvement"))</f>
        <v>Needs Improvement</v>
      </c>
      <c r="J3" s="6"/>
    </row>
    <row r="4" spans="1:23" x14ac:dyDescent="0.3">
      <c r="A4" s="1" t="s">
        <v>8</v>
      </c>
      <c r="B4" s="1">
        <v>90</v>
      </c>
      <c r="C4" s="1" t="s">
        <v>5</v>
      </c>
      <c r="D4" s="1" t="str">
        <f t="shared" si="0"/>
        <v>A+</v>
      </c>
      <c r="E4" t="str">
        <f t="shared" si="1"/>
        <v>Pass</v>
      </c>
      <c r="F4" t="str">
        <f t="shared" si="2"/>
        <v>Excellent</v>
      </c>
      <c r="J4" s="6"/>
    </row>
    <row r="5" spans="1:23" x14ac:dyDescent="0.3">
      <c r="A5" s="1" t="s">
        <v>11</v>
      </c>
      <c r="B5" s="1">
        <v>70</v>
      </c>
      <c r="C5" s="1" t="s">
        <v>7</v>
      </c>
      <c r="D5" s="1" t="str">
        <f t="shared" si="0"/>
        <v>B</v>
      </c>
      <c r="E5" t="str">
        <f t="shared" si="1"/>
        <v>Pass</v>
      </c>
      <c r="F5" t="str">
        <f t="shared" si="2"/>
        <v>Good</v>
      </c>
      <c r="J5" s="6"/>
      <c r="U5" s="6" t="s">
        <v>16</v>
      </c>
      <c r="V5" s="6"/>
      <c r="W5" s="6"/>
    </row>
    <row r="6" spans="1:23" x14ac:dyDescent="0.3">
      <c r="A6" s="1" t="s">
        <v>6</v>
      </c>
      <c r="B6" s="1">
        <v>65</v>
      </c>
      <c r="C6" s="1" t="s">
        <v>7</v>
      </c>
      <c r="D6" s="1" t="str">
        <f t="shared" si="0"/>
        <v>B</v>
      </c>
      <c r="E6" t="str">
        <f t="shared" si="1"/>
        <v>Pass</v>
      </c>
      <c r="F6" t="str">
        <f t="shared" si="2"/>
        <v>Needs Improvement</v>
      </c>
      <c r="J6" s="6"/>
      <c r="U6" s="7"/>
      <c r="V6" s="6"/>
      <c r="W6" s="6"/>
    </row>
    <row r="7" spans="1:23" x14ac:dyDescent="0.3">
      <c r="A7" s="1" t="s">
        <v>30</v>
      </c>
      <c r="B7" s="1">
        <v>85</v>
      </c>
      <c r="C7" s="1" t="s">
        <v>10</v>
      </c>
      <c r="D7" s="1" t="str">
        <f t="shared" si="0"/>
        <v>A+</v>
      </c>
      <c r="E7" t="str">
        <f t="shared" si="1"/>
        <v>Pass</v>
      </c>
      <c r="F7" t="str">
        <f t="shared" si="2"/>
        <v>Excellent</v>
      </c>
      <c r="J7" s="6"/>
      <c r="U7" s="7" t="s">
        <v>17</v>
      </c>
      <c r="V7" s="6"/>
      <c r="W7" s="6"/>
    </row>
    <row r="8" spans="1:23" x14ac:dyDescent="0.3">
      <c r="A8" s="1" t="s">
        <v>31</v>
      </c>
      <c r="B8" s="1">
        <v>59</v>
      </c>
      <c r="C8" s="1" t="s">
        <v>10</v>
      </c>
      <c r="D8" s="1" t="str">
        <f t="shared" si="0"/>
        <v>C</v>
      </c>
      <c r="E8" t="str">
        <f t="shared" si="1"/>
        <v>Fail</v>
      </c>
      <c r="F8" t="str">
        <f t="shared" si="2"/>
        <v>Needs Improvement</v>
      </c>
      <c r="J8" s="6"/>
      <c r="U8" s="7"/>
      <c r="V8" s="6"/>
      <c r="W8" s="6"/>
    </row>
    <row r="9" spans="1:23" x14ac:dyDescent="0.3">
      <c r="J9" s="6"/>
      <c r="U9" s="7" t="s">
        <v>18</v>
      </c>
      <c r="V9" s="6"/>
      <c r="W9" s="6"/>
    </row>
    <row r="10" spans="1:23" x14ac:dyDescent="0.3">
      <c r="J10" s="6"/>
      <c r="U10" s="7"/>
      <c r="V10" s="6"/>
      <c r="W10" s="6"/>
    </row>
    <row r="11" spans="1:23" x14ac:dyDescent="0.3">
      <c r="J11" s="6"/>
      <c r="U11" s="7" t="s">
        <v>19</v>
      </c>
      <c r="V11" s="6"/>
      <c r="W11" s="6"/>
    </row>
    <row r="12" spans="1:23" x14ac:dyDescent="0.3">
      <c r="J12" s="6"/>
      <c r="U12" s="7"/>
      <c r="V12" s="6"/>
      <c r="W12" s="6"/>
    </row>
    <row r="13" spans="1:23" x14ac:dyDescent="0.3">
      <c r="J13" s="6"/>
      <c r="U13" s="7" t="s">
        <v>20</v>
      </c>
      <c r="V13" s="6"/>
      <c r="W13" s="6"/>
    </row>
    <row r="14" spans="1:23" x14ac:dyDescent="0.3">
      <c r="A14" s="4" t="s">
        <v>12</v>
      </c>
      <c r="B14" s="3">
        <f>AVERAGE(B2:B8)</f>
        <v>71.714285714285708</v>
      </c>
      <c r="J14" s="6"/>
      <c r="U14" s="7"/>
      <c r="V14" s="6"/>
      <c r="W14" s="6"/>
    </row>
    <row r="15" spans="1:23" x14ac:dyDescent="0.3">
      <c r="A15" s="5" t="s">
        <v>13</v>
      </c>
      <c r="B15" s="3">
        <f>SUM(B2:B8)</f>
        <v>502</v>
      </c>
      <c r="J15" s="6"/>
      <c r="U15" s="7" t="s">
        <v>21</v>
      </c>
      <c r="V15" s="6"/>
      <c r="W15" s="6"/>
    </row>
    <row r="16" spans="1:23" x14ac:dyDescent="0.3">
      <c r="A16" s="4" t="s">
        <v>14</v>
      </c>
      <c r="B16" s="3">
        <f>MAX(B2:B8)</f>
        <v>90</v>
      </c>
      <c r="J16" s="6"/>
      <c r="U16" s="7"/>
      <c r="V16" s="6"/>
      <c r="W16" s="6"/>
    </row>
    <row r="17" spans="1:23" x14ac:dyDescent="0.3">
      <c r="A17" s="5" t="s">
        <v>15</v>
      </c>
      <c r="B17" s="3">
        <f>MIN(B2:B8)</f>
        <v>55</v>
      </c>
      <c r="J17" s="6"/>
      <c r="U17" s="7" t="s">
        <v>22</v>
      </c>
      <c r="V17" s="6"/>
      <c r="W17" s="6"/>
    </row>
    <row r="18" spans="1:23" x14ac:dyDescent="0.3">
      <c r="J18" s="6"/>
      <c r="U18" s="7"/>
      <c r="V18" s="6"/>
      <c r="W18" s="6"/>
    </row>
    <row r="19" spans="1:23" x14ac:dyDescent="0.3">
      <c r="J19" s="6"/>
      <c r="U19" s="7" t="s">
        <v>23</v>
      </c>
      <c r="V19" s="6"/>
      <c r="W19" s="6"/>
    </row>
    <row r="20" spans="1:23" x14ac:dyDescent="0.3">
      <c r="J20" s="6"/>
      <c r="U20" s="7"/>
      <c r="V20" s="6"/>
      <c r="W20" s="6"/>
    </row>
    <row r="21" spans="1:23" x14ac:dyDescent="0.3">
      <c r="J21" s="6"/>
      <c r="U21" s="7" t="s">
        <v>24</v>
      </c>
      <c r="V21" s="6"/>
      <c r="W21" s="6"/>
    </row>
    <row r="22" spans="1:23" x14ac:dyDescent="0.3">
      <c r="J22" s="6"/>
      <c r="U22" s="7"/>
      <c r="V22" s="6"/>
      <c r="W22" s="6"/>
    </row>
    <row r="23" spans="1:23" x14ac:dyDescent="0.3">
      <c r="J23" s="6"/>
      <c r="U23" s="7" t="s">
        <v>25</v>
      </c>
      <c r="V23" s="6"/>
      <c r="W23" s="6"/>
    </row>
    <row r="24" spans="1:23" x14ac:dyDescent="0.3">
      <c r="J24" s="6"/>
      <c r="U24" s="7"/>
      <c r="V24" s="6"/>
      <c r="W24" s="6"/>
    </row>
    <row r="25" spans="1:23" x14ac:dyDescent="0.3">
      <c r="J25" s="6"/>
      <c r="U25" s="7"/>
      <c r="V25" s="6"/>
      <c r="W25" s="6"/>
    </row>
    <row r="26" spans="1:23" x14ac:dyDescent="0.3">
      <c r="J26" s="6"/>
      <c r="U26" s="8"/>
      <c r="V26" s="6"/>
      <c r="W26" s="6"/>
    </row>
    <row r="27" spans="1:23" x14ac:dyDescent="0.3">
      <c r="U27" s="8" t="s">
        <v>26</v>
      </c>
      <c r="V27" s="6"/>
      <c r="W27" s="6"/>
    </row>
    <row r="28" spans="1:23" x14ac:dyDescent="0.3">
      <c r="U28" s="8"/>
      <c r="V28" s="6"/>
      <c r="W28" s="6"/>
    </row>
    <row r="29" spans="1:23" x14ac:dyDescent="0.3">
      <c r="U29" s="8" t="s">
        <v>27</v>
      </c>
      <c r="V29" s="6"/>
      <c r="W29" s="6"/>
    </row>
  </sheetData>
  <sortState xmlns:xlrd2="http://schemas.microsoft.com/office/spreadsheetml/2017/richdata2" ref="A2:D6">
    <sortCondition ref="A2:A6"/>
  </sortState>
  <phoneticPr fontId="2" type="noConversion"/>
  <conditionalFormatting sqref="B2:B8">
    <cfRule type="cellIs" dxfId="1" priority="1" operator="lessThan">
      <formula>60</formula>
    </cfRule>
    <cfRule type="cellIs" dxfId="0" priority="2" operator="greater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Wadekar</dc:creator>
  <cp:lastModifiedBy>Medha Wadekar</cp:lastModifiedBy>
  <dcterms:created xsi:type="dcterms:W3CDTF">2026-01-28T12:39:22Z</dcterms:created>
  <dcterms:modified xsi:type="dcterms:W3CDTF">2026-02-01T11:45:06Z</dcterms:modified>
</cp:coreProperties>
</file>
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\Desktop\Medha\data-analytics-roadmap\Month1_Excel_Stats\week1_mini_project\"/>
    </mc:Choice>
  </mc:AlternateContent>
  <xr:revisionPtr revIDLastSave="0" documentId="13_ncr:1_{AC001CCF-4B25-442D-B8F7-2EBA31B91847}" xr6:coauthVersionLast="47" xr6:coauthVersionMax="47" xr10:uidLastSave="{00000000-0000-0000-0000-000000000000}"/>
  <bookViews>
    <workbookView xWindow="-108" yWindow="-108" windowWidth="23256" windowHeight="12456" xr2:uid="{2DDF82A3-716C-44B4-A216-E7F5913C705A}"/>
  </bookViews>
  <sheets>
    <sheet name="Sheet1" sheetId="1" r:id="rId1"/>
  </sheets>
  <definedNames>
    <definedName name="_xlnm._FilterDatabase" localSheetId="0" hidden="1">Sheet1!$A$4:$E$11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5" i="1"/>
  <c r="B17" i="1"/>
  <c r="B16" i="1"/>
  <c r="B15" i="1"/>
  <c r="B14" i="1"/>
  <c r="E9" i="1"/>
  <c r="E5" i="1"/>
  <c r="E11" i="1"/>
  <c r="E8" i="1"/>
  <c r="E6" i="1"/>
  <c r="E10" i="1"/>
  <c r="E7" i="1"/>
</calcChain>
</file>

<file path=xl/sharedStrings.xml><?xml version="1.0" encoding="utf-8"?>
<sst xmlns="http://schemas.openxmlformats.org/spreadsheetml/2006/main" count="36" uniqueCount="24">
  <si>
    <t>Student Performance Analysis using Excel</t>
  </si>
  <si>
    <t>Name</t>
  </si>
  <si>
    <t>Marks</t>
  </si>
  <si>
    <t>City</t>
  </si>
  <si>
    <t>Grade</t>
  </si>
  <si>
    <t>Asha</t>
  </si>
  <si>
    <t>Pune</t>
  </si>
  <si>
    <t>A</t>
  </si>
  <si>
    <t>Rohan</t>
  </si>
  <si>
    <t>Mumbai</t>
  </si>
  <si>
    <t>B</t>
  </si>
  <si>
    <t>Meena</t>
  </si>
  <si>
    <t>Kunal</t>
  </si>
  <si>
    <t>Delhi</t>
  </si>
  <si>
    <t>C</t>
  </si>
  <si>
    <t>Priya</t>
  </si>
  <si>
    <t>Aman</t>
  </si>
  <si>
    <t>Neha</t>
  </si>
  <si>
    <t>Result</t>
  </si>
  <si>
    <t>Average</t>
  </si>
  <si>
    <t>Sum</t>
  </si>
  <si>
    <t>Highest</t>
  </si>
  <si>
    <t>Lowest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</si>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</sst>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4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Sheet1!$H$5:$H$7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Sheet1!$I$5:$I$7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0-46C8-AF72-0F5C24ECF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Sheet1!$A$5:$A$11</c:f>
              <c:strCache>
                <c:ptCount val="7"/>
                <c:pt idx="0">
                  <c:v>Meena</c:v>
                </c:pt>
                <c:pt idx="1">
                  <c:v>Aman</c:v>
                </c:pt>
                <c:pt idx="2">
                  <c:v>Asha</c:v>
                </c:pt>
                <c:pt idx="3">
                  <c:v>Priya</c:v>
                </c:pt>
                <c:pt idx="4">
                  <c:v>Rohan</c:v>
                </c:pt>
                <c:pt idx="5">
                  <c:v>Neha</c:v>
                </c:pt>
                <c:pt idx="6">
                  <c:v>Kunal</c:v>
                </c:pt>
              </c:strCache>
            </c:strRef>
          </c:cat>
          <c:val>
            <c:numRef>
              <c:f>Sheet1!$B$5:$B$11</c:f>
              <c:numCache>
                <c:formatCode>General</c:formatCode>
                <c:ptCount val="7"/>
                <c:pt idx="0">
                  <c:v>90</c:v>
                </c:pt>
                <c:pt idx="1">
                  <c:v>82</c:v>
                </c:pt>
                <c:pt idx="2">
                  <c:v>78</c:v>
                </c:pt>
                <c:pt idx="3">
                  <c:v>70</c:v>
                </c:pt>
                <c:pt idx="4">
                  <c:v>65</c:v>
                </c:pt>
                <c:pt idx="5">
                  <c:v>60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B-4202-BD7A-625D8903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873808"/>
        <c:axId val="1468245264"/>
      </c:barChart>
      <c:catAx>
        <c:axId val="204087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245264"/>
        <c:crosses val="autoZero"/>
        <c:auto val="1"/>
        <c:lblAlgn val="ctr"/>
        <c:lblOffset val="100"/>
        <c:noMultiLvlLbl val="0"/>
      </c:catAx>
      <c:valAx>
        <c:axId val="14682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7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13</xdr:row>
      <xdr:rowOff>171450</xdr:rowOff>
    </xdr:from>
    <xdr:to>
      <xdr:col>11</xdr:col>
      <xdr:colOff>579120</xdr:colOff>
      <xdr:row>28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263597-B07C-2BD1-EB0D-905DFB131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13</xdr:row>
      <xdr:rowOff>179070</xdr:rowOff>
    </xdr:from>
    <xdr:to>
      <xdr:col>19</xdr:col>
      <xdr:colOff>533400</xdr:colOff>
      <xdr:row>28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747EC1-56B9-A15F-4D44-13F499870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8966-F9E0-4EEC-906E-504D7DA98391}">
  <dimension ref="A1:I17"/>
  <sheetViews>
    <sheetView tabSelected="1" workbookViewId="0">
      <selection activeCell="M10" sqref="M10"/>
    </sheetView>
  </sheetViews>
  <sheetFormatPr defaultRowHeight="14.4" x14ac:dyDescent="0.3"/>
  <sheetData>
    <row r="1" spans="1:9" ht="20.399999999999999" x14ac:dyDescent="0.35">
      <c r="H1" s="1" t="s">
        <v>0</v>
      </c>
    </row>
    <row r="4" spans="1:9" ht="1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18</v>
      </c>
      <c r="H4" s="2" t="s">
        <v>4</v>
      </c>
      <c r="I4" s="2" t="s">
        <v>23</v>
      </c>
    </row>
    <row r="5" spans="1:9" ht="15.6" x14ac:dyDescent="0.3">
      <c r="A5" s="3" t="s">
        <v>11</v>
      </c>
      <c r="B5" s="3">
        <v>90</v>
      </c>
      <c r="C5" s="3" t="s">
        <v>6</v>
      </c>
      <c r="D5" s="3" t="s">
        <v>7</v>
      </c>
      <c r="E5" t="str">
        <f>IF(B5&gt;=60, "Pass", "Fail")</f>
        <v>Pass</v>
      </c>
      <c r="H5" t="s">
        <v>7</v>
      </c>
      <c r="I5">
        <f>COUNTIF(D:D, "A")</f>
        <v>3</v>
      </c>
    </row>
    <row r="6" spans="1:9" ht="15.6" x14ac:dyDescent="0.3">
      <c r="A6" s="3" t="s">
        <v>16</v>
      </c>
      <c r="B6" s="3">
        <v>82</v>
      </c>
      <c r="C6" s="3" t="s">
        <v>6</v>
      </c>
      <c r="D6" s="3" t="s">
        <v>7</v>
      </c>
      <c r="E6" t="str">
        <f>IF(B6&gt;=60, "Pass", "Fail")</f>
        <v>Pass</v>
      </c>
      <c r="H6" t="s">
        <v>10</v>
      </c>
      <c r="I6">
        <f>COUNTIF(D:D, "B")</f>
        <v>3</v>
      </c>
    </row>
    <row r="7" spans="1:9" ht="15.6" x14ac:dyDescent="0.3">
      <c r="A7" s="3" t="s">
        <v>5</v>
      </c>
      <c r="B7" s="3">
        <v>78</v>
      </c>
      <c r="C7" s="3" t="s">
        <v>6</v>
      </c>
      <c r="D7" s="3" t="s">
        <v>7</v>
      </c>
      <c r="E7" t="str">
        <f>IF(B7&gt;=60, "Pass", "Fail")</f>
        <v>Pass</v>
      </c>
      <c r="H7" t="s">
        <v>14</v>
      </c>
      <c r="I7">
        <f>COUNTIF(D:D, "C")</f>
        <v>1</v>
      </c>
    </row>
    <row r="8" spans="1:9" ht="15.6" x14ac:dyDescent="0.3">
      <c r="A8" s="3" t="s">
        <v>15</v>
      </c>
      <c r="B8" s="3">
        <v>70</v>
      </c>
      <c r="C8" s="3" t="s">
        <v>9</v>
      </c>
      <c r="D8" s="3" t="s">
        <v>10</v>
      </c>
      <c r="E8" t="str">
        <f>IF(B8&gt;=60, "Pass", "Fail")</f>
        <v>Pass</v>
      </c>
    </row>
    <row r="9" spans="1:9" ht="15.6" x14ac:dyDescent="0.3">
      <c r="A9" s="3" t="s">
        <v>8</v>
      </c>
      <c r="B9" s="3">
        <v>65</v>
      </c>
      <c r="C9" s="3" t="s">
        <v>9</v>
      </c>
      <c r="D9" s="3" t="s">
        <v>10</v>
      </c>
      <c r="E9" t="str">
        <f>IF(B9&gt;=60, "Pass", "Fail")</f>
        <v>Pass</v>
      </c>
    </row>
    <row r="10" spans="1:9" ht="15.6" x14ac:dyDescent="0.3">
      <c r="A10" s="3" t="s">
        <v>17</v>
      </c>
      <c r="B10" s="3">
        <v>60</v>
      </c>
      <c r="C10" s="3" t="s">
        <v>13</v>
      </c>
      <c r="D10" s="3" t="s">
        <v>10</v>
      </c>
      <c r="E10" t="str">
        <f>IF(B10&gt;=60, "Pass", "Fail")</f>
        <v>Pass</v>
      </c>
    </row>
    <row r="11" spans="1:9" ht="15.6" x14ac:dyDescent="0.3">
      <c r="A11" s="3" t="s">
        <v>12</v>
      </c>
      <c r="B11" s="3">
        <v>55</v>
      </c>
      <c r="C11" s="3" t="s">
        <v>13</v>
      </c>
      <c r="D11" s="3" t="s">
        <v>14</v>
      </c>
      <c r="E11" t="str">
        <f>IF(B11&gt;=60, "Pass", "Fail")</f>
        <v>Fail</v>
      </c>
    </row>
    <row r="14" spans="1:9" ht="15.6" x14ac:dyDescent="0.3">
      <c r="A14" s="3" t="s">
        <v>19</v>
      </c>
      <c r="B14">
        <f>AVERAGE(B5:B11)</f>
        <v>71.428571428571431</v>
      </c>
    </row>
    <row r="15" spans="1:9" ht="15.6" x14ac:dyDescent="0.3">
      <c r="A15" s="3" t="s">
        <v>20</v>
      </c>
      <c r="B15">
        <f>SUM(B5:B11)</f>
        <v>500</v>
      </c>
    </row>
    <row r="16" spans="1:9" ht="15.6" x14ac:dyDescent="0.3">
      <c r="A16" s="3" t="s">
        <v>21</v>
      </c>
      <c r="B16">
        <f>MAX(B5:B12)</f>
        <v>90</v>
      </c>
    </row>
    <row r="17" spans="1:2" ht="15.6" x14ac:dyDescent="0.3">
      <c r="A17" s="3" t="s">
        <v>22</v>
      </c>
      <c r="B17">
        <f>MIN(B5:B11)</f>
        <v>55</v>
      </c>
    </row>
  </sheetData>
  <sortState xmlns:xlrd2="http://schemas.microsoft.com/office/spreadsheetml/2017/richdata2" ref="A5:E11">
    <sortCondition descending="1" ref="B5:B11"/>
  </sortState>
  <conditionalFormatting sqref="B5:B11">
    <cfRule type="cellIs" dxfId="0" priority="2" operator="greaterThan">
      <formula>80</formula>
    </cfRule>
    <cfRule type="cellIs" dxfId="1" priority="1" operator="lessThan">
      <formula>60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Wadekar</dc:creator>
  <cp:lastModifiedBy>Medha Wadekar</cp:lastModifiedBy>
  <dcterms:created xsi:type="dcterms:W3CDTF">2026-02-04T16:19:25Z</dcterms:created>
  <dcterms:modified xsi:type="dcterms:W3CDTF">2026-02-04T16:51:12Z</dcterms:modified>
</cp:coreProperties>
</file>
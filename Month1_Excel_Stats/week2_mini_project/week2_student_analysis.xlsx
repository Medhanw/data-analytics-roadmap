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Medha\data-analytics-roadmap\Month1_Excel_Stats\week2_mini_project\"/>
    </mc:Choice>
  </mc:AlternateContent>
  <xr:revisionPtr revIDLastSave="0" documentId="13_ncr:1_{5F6977FC-2DC8-443D-A0DE-B2DB56FBC4BD}" xr6:coauthVersionLast="47" xr6:coauthVersionMax="47" xr10:uidLastSave="{00000000-0000-0000-0000-000000000000}"/>
  <bookViews>
    <workbookView xWindow="-108" yWindow="-108" windowWidth="23256" windowHeight="12456" xr2:uid="{CB97E2DC-30D6-4F5A-B9AA-1F439123A5D9}"/>
  </bookViews>
  <sheets>
    <sheet name="Sheet1" sheetId="1" r:id="rId1"/>
    <sheet name="Scholarsh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J9" i="1"/>
  <c r="J8" i="1"/>
  <c r="J7" i="1"/>
  <c r="J6" i="1"/>
  <c r="J5" i="1"/>
  <c r="J4" i="1"/>
  <c r="J3" i="1"/>
  <c r="J2" i="1"/>
  <c r="E8" i="1"/>
  <c r="E3" i="1"/>
  <c r="E4" i="1"/>
  <c r="E5" i="1"/>
  <c r="E6" i="1"/>
  <c r="E7" i="1"/>
  <c r="E9" i="1"/>
  <c r="E2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<sst xmlns="http://schemas.openxmlformats.org/spreadsheetml/2006/main" count="54" uniqueCount="31">
  <si>
    <t>Name</t>
  </si>
  <si>
    <t>Marks</t>
  </si>
  <si>
    <t xml:space="preserve">City </t>
  </si>
  <si>
    <t>Grade</t>
  </si>
  <si>
    <t>Asha</t>
  </si>
  <si>
    <t>Pune</t>
  </si>
  <si>
    <t>A</t>
  </si>
  <si>
    <t>Rohan</t>
  </si>
  <si>
    <t>Mumbai</t>
  </si>
  <si>
    <t>B</t>
  </si>
  <si>
    <t>Meena</t>
  </si>
  <si>
    <t>Kunal</t>
  </si>
  <si>
    <t>Delhi</t>
  </si>
  <si>
    <t>C</t>
  </si>
  <si>
    <t>Priya</t>
  </si>
  <si>
    <t>Aman</t>
  </si>
  <si>
    <t>Neha</t>
  </si>
  <si>
    <t>Rahul</t>
  </si>
  <si>
    <t>Scholarship</t>
  </si>
  <si>
    <t xml:space="preserve">Average </t>
  </si>
  <si>
    <t>Highest marks</t>
  </si>
  <si>
    <t>Lowest marks</t>
  </si>
  <si>
    <t>Count(Grade A)</t>
  </si>
  <si>
    <t>Average marks of Pune</t>
  </si>
  <si>
    <t>Average marks of Mumbai</t>
  </si>
  <si>
    <t>Average marks of Delhi</t>
  </si>
  <si>
    <t>Result</t>
  </si>
  <si>
    <t>Amount</t>
  </si>
  <si>
    <t>Scholarships</t>
  </si>
  <si>
    <t>Count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</si>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</sst>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Asha</c:v>
                </c:pt>
                <c:pt idx="1">
                  <c:v>Rohan</c:v>
                </c:pt>
                <c:pt idx="2">
                  <c:v>Meena</c:v>
                </c:pt>
                <c:pt idx="3">
                  <c:v>Kunal</c:v>
                </c:pt>
                <c:pt idx="4">
                  <c:v>Priya</c:v>
                </c:pt>
                <c:pt idx="5">
                  <c:v>Aman</c:v>
                </c:pt>
                <c:pt idx="6">
                  <c:v>Neha</c:v>
                </c:pt>
                <c:pt idx="7">
                  <c:v>Rahul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78</c:v>
                </c:pt>
                <c:pt idx="1">
                  <c:v>65</c:v>
                </c:pt>
                <c:pt idx="2">
                  <c:v>90</c:v>
                </c:pt>
                <c:pt idx="3">
                  <c:v>55</c:v>
                </c:pt>
                <c:pt idx="4">
                  <c:v>70</c:v>
                </c:pt>
                <c:pt idx="5">
                  <c:v>82</c:v>
                </c:pt>
                <c:pt idx="6">
                  <c:v>60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C-41BB-993F-3B27A2350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152863"/>
        <c:axId val="2117152383"/>
      </c:barChart>
      <c:catAx>
        <c:axId val="211715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52383"/>
        <c:crosses val="autoZero"/>
        <c:auto val="1"/>
        <c:lblAlgn val="ctr"/>
        <c:lblOffset val="100"/>
        <c:noMultiLvlLbl val="0"/>
      </c:catAx>
      <c:valAx>
        <c:axId val="211715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Sheet1!$M$1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Sheet1!$L$2:$L$4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5-4A15-9403-654652BE3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11</xdr:row>
      <xdr:rowOff>64770</xdr:rowOff>
    </xdr:from>
    <xdr:to>
      <xdr:col>10</xdr:col>
      <xdr:colOff>144780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DD940-FF77-0715-DAC2-7A2B6A6F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5</xdr:row>
      <xdr:rowOff>26670</xdr:rowOff>
    </xdr:from>
    <xdr:to>
      <xdr:col>18</xdr:col>
      <xdr:colOff>327660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36A10D-E564-2485-03D6-DE6642981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2F75-CA14-40CA-96EA-2DFE1DD26DE2}">
  <dimension ref="A1:N19"/>
  <sheetViews>
    <sheetView tabSelected="1" zoomScale="85" zoomScaleNormal="85" workbookViewId="0">
      <selection activeCell="P3" sqref="P3"/>
    </sheetView>
  </sheetViews>
  <sheetFormatPr defaultRowHeight="14.4" x14ac:dyDescent="0.3"/>
  <cols>
    <col min="1" max="1" width="28.5546875" customWidth="1"/>
    <col min="2" max="2" width="11" customWidth="1"/>
    <col min="3" max="3" width="11.5546875" customWidth="1"/>
    <col min="4" max="4" width="13.44140625" customWidth="1"/>
    <col min="9" max="9" width="12.88671875" customWidth="1"/>
    <col min="10" max="10" width="18.44140625" customWidth="1"/>
    <col min="14" max="14" width="17.109375" customWidth="1"/>
  </cols>
  <sheetData>
    <row r="1" spans="1:14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26</v>
      </c>
      <c r="H1" s="7" t="s">
        <v>3</v>
      </c>
      <c r="I1" s="7" t="s">
        <v>27</v>
      </c>
      <c r="J1" s="3" t="s">
        <v>28</v>
      </c>
      <c r="L1" s="3" t="s">
        <v>3</v>
      </c>
      <c r="M1" s="3" t="s">
        <v>29</v>
      </c>
      <c r="N1" s="3" t="s">
        <v>30</v>
      </c>
    </row>
    <row r="2" spans="1:14" ht="18" x14ac:dyDescent="0.35">
      <c r="A2" s="4" t="s">
        <v>4</v>
      </c>
      <c r="B2" s="4">
        <v>78</v>
      </c>
      <c r="C2" s="4" t="s">
        <v>5</v>
      </c>
      <c r="D2" s="4" t="s">
        <v>6</v>
      </c>
      <c r="E2" s="4" t="str">
        <f>IF(B2&gt;60, "Pass", "Fail")</f>
        <v>Pass</v>
      </c>
      <c r="H2" s="5" t="s">
        <v>6</v>
      </c>
      <c r="I2" s="5">
        <v>5000</v>
      </c>
      <c r="J2" s="4">
        <f>_xlfn.XLOOKUP(D2, H2:H4, I2:I4)</f>
        <v>5000</v>
      </c>
      <c r="L2" s="4" t="s">
        <v>6</v>
      </c>
      <c r="M2" s="4">
        <f>COUNTIF(D2:D9, "A")</f>
        <v>3</v>
      </c>
      <c r="N2">
        <v>0.375</v>
      </c>
    </row>
    <row r="3" spans="1:14" ht="18" x14ac:dyDescent="0.35">
      <c r="A3" s="4" t="s">
        <v>7</v>
      </c>
      <c r="B3" s="4">
        <v>65</v>
      </c>
      <c r="C3" s="4" t="s">
        <v>8</v>
      </c>
      <c r="D3" s="4" t="s">
        <v>9</v>
      </c>
      <c r="E3" s="4" t="str">
        <f t="shared" ref="E3:E9" si="0">IF(B3&gt;60, "Pass", "Fail")</f>
        <v>Pass</v>
      </c>
      <c r="H3" s="5" t="s">
        <v>9</v>
      </c>
      <c r="I3" s="5">
        <v>3000</v>
      </c>
      <c r="J3" s="4">
        <f>_xlfn.XLOOKUP(D3, H2:H4, I2:I4)</f>
        <v>3000</v>
      </c>
      <c r="L3" s="4" t="s">
        <v>9</v>
      </c>
      <c r="M3" s="4">
        <f>COUNTIF(D2:D9, "B")</f>
        <v>3</v>
      </c>
      <c r="N3">
        <v>0.375</v>
      </c>
    </row>
    <row r="4" spans="1:14" ht="18" x14ac:dyDescent="0.35">
      <c r="A4" s="4" t="s">
        <v>10</v>
      </c>
      <c r="B4" s="4">
        <v>90</v>
      </c>
      <c r="C4" s="4" t="s">
        <v>5</v>
      </c>
      <c r="D4" s="4" t="s">
        <v>6</v>
      </c>
      <c r="E4" s="4" t="str">
        <f t="shared" si="0"/>
        <v>Pass</v>
      </c>
      <c r="H4" s="5" t="s">
        <v>13</v>
      </c>
      <c r="I4" s="5">
        <v>1000</v>
      </c>
      <c r="J4" s="4">
        <f>_xlfn.XLOOKUP(D4, H2:H4, I2:I4)</f>
        <v>5000</v>
      </c>
      <c r="L4" s="4" t="s">
        <v>13</v>
      </c>
      <c r="M4" s="4">
        <f>COUNTIF(D2:D9, "C")</f>
        <v>2</v>
      </c>
      <c r="N4">
        <v>0.25</v>
      </c>
    </row>
    <row r="5" spans="1:14" ht="18" x14ac:dyDescent="0.35">
      <c r="A5" s="4" t="s">
        <v>11</v>
      </c>
      <c r="B5" s="4">
        <v>55</v>
      </c>
      <c r="C5" s="4" t="s">
        <v>12</v>
      </c>
      <c r="D5" s="4" t="s">
        <v>13</v>
      </c>
      <c r="E5" s="4" t="str">
        <f t="shared" si="0"/>
        <v>Fail</v>
      </c>
      <c r="H5" s="4"/>
      <c r="I5" s="4"/>
      <c r="J5" s="4">
        <f>_xlfn.XLOOKUP(D5, H2:H4, I2:I4)</f>
        <v>1000</v>
      </c>
    </row>
    <row r="6" spans="1:14" ht="18" x14ac:dyDescent="0.35">
      <c r="A6" s="5" t="s">
        <v>14</v>
      </c>
      <c r="B6" s="5">
        <v>70</v>
      </c>
      <c r="C6" s="5" t="s">
        <v>8</v>
      </c>
      <c r="D6" s="5" t="s">
        <v>9</v>
      </c>
      <c r="E6" s="4" t="str">
        <f t="shared" si="0"/>
        <v>Pass</v>
      </c>
      <c r="H6" s="6"/>
      <c r="I6" s="6"/>
      <c r="J6" s="4">
        <f>_xlfn.XLOOKUP(D6, H2:H4, I2:I4)</f>
        <v>3000</v>
      </c>
    </row>
    <row r="7" spans="1:14" ht="18" x14ac:dyDescent="0.35">
      <c r="A7" s="5" t="s">
        <v>15</v>
      </c>
      <c r="B7" s="5">
        <v>82</v>
      </c>
      <c r="C7" s="5" t="s">
        <v>5</v>
      </c>
      <c r="D7" s="5" t="s">
        <v>6</v>
      </c>
      <c r="E7" s="4" t="str">
        <f t="shared" si="0"/>
        <v>Pass</v>
      </c>
      <c r="H7" s="6"/>
      <c r="I7" s="6"/>
      <c r="J7" s="4">
        <f>_xlfn.XLOOKUP(D7, H2:H4, I2:I4)</f>
        <v>5000</v>
      </c>
    </row>
    <row r="8" spans="1:14" ht="18" x14ac:dyDescent="0.35">
      <c r="A8" s="5" t="s">
        <v>16</v>
      </c>
      <c r="B8" s="5">
        <v>60</v>
      </c>
      <c r="C8" s="5" t="s">
        <v>12</v>
      </c>
      <c r="D8" s="5" t="s">
        <v>9</v>
      </c>
      <c r="E8" s="4" t="str">
        <f>IF(B8&gt;=60, "Pass", "Fail")</f>
        <v>Pass</v>
      </c>
      <c r="H8" s="6"/>
      <c r="I8" s="6"/>
      <c r="J8" s="4">
        <f>_xlfn.XLOOKUP(D8, H2:H4, I2:I4)</f>
        <v>3000</v>
      </c>
    </row>
    <row r="9" spans="1:14" ht="18" x14ac:dyDescent="0.35">
      <c r="A9" s="5" t="s">
        <v>17</v>
      </c>
      <c r="B9" s="5">
        <v>45</v>
      </c>
      <c r="C9" s="5" t="s">
        <v>8</v>
      </c>
      <c r="D9" s="5" t="s">
        <v>13</v>
      </c>
      <c r="E9" s="4" t="str">
        <f t="shared" si="0"/>
        <v>Fail</v>
      </c>
      <c r="H9" s="6"/>
      <c r="I9" s="6"/>
      <c r="J9" s="4">
        <f>_xlfn.XLOOKUP(D9, H2:H4, I2:I4)</f>
        <v>1000</v>
      </c>
    </row>
    <row r="10" spans="1:14" ht="18" x14ac:dyDescent="0.35">
      <c r="A10" s="6"/>
      <c r="B10" s="6"/>
      <c r="C10" s="6"/>
      <c r="D10" s="6"/>
    </row>
    <row r="13" spans="1:14" x14ac:dyDescent="0.3">
      <c r="A13" t="s">
        <v>19</v>
      </c>
      <c r="B13">
        <f>AVERAGE(B2:B9)</f>
        <v>68.125</v>
      </c>
    </row>
    <row r="14" spans="1:14" x14ac:dyDescent="0.3">
      <c r="A14" t="s">
        <v>20</v>
      </c>
      <c r="B14">
        <f>MAX(B2:B9)</f>
        <v>90</v>
      </c>
    </row>
    <row r="15" spans="1:14" x14ac:dyDescent="0.3">
      <c r="A15" t="s">
        <v>21</v>
      </c>
      <c r="B15">
        <f>MIN(B2:B9)</f>
        <v>45</v>
      </c>
    </row>
    <row r="16" spans="1:14" x14ac:dyDescent="0.3">
      <c r="A16" t="s">
        <v>22</v>
      </c>
      <c r="B16">
        <f>COUNTIF(D2:D9, "A")</f>
        <v>3</v>
      </c>
    </row>
    <row r="17" spans="1:2" x14ac:dyDescent="0.3">
      <c r="A17" t="s">
        <v>23</v>
      </c>
      <c r="B17">
        <f>AVERAGEIF(C2:C9, "Pune", B2:B9)</f>
        <v>83.333333333333329</v>
      </c>
    </row>
    <row r="18" spans="1:2" x14ac:dyDescent="0.3">
      <c r="A18" t="s">
        <v>24</v>
      </c>
      <c r="B18">
        <f>AVERAGEIF(C2:C9, "Mumbai", B2:B10)</f>
        <v>60</v>
      </c>
    </row>
    <row r="19" spans="1:2" x14ac:dyDescent="0.3">
      <c r="A19" t="s">
        <v>25</v>
      </c>
      <c r="B19">
        <f>AVERAGEIF(C2:C9, "Delhi", B2:B9)</f>
        <v>57.5</v>
      </c>
    </row>
  </sheetData>
  <conditionalFormatting sqref="Q2">
    <cfRule type="cellIs" dxfId="2" priority="3" operator="greaterThan">
      <formula>80</formula>
    </cfRule>
  </conditionalFormatting>
  <conditionalFormatting sqref="B2:B9">
    <cfRule type="cellIs" dxfId="0" priority="2" operator="greaterThan">
      <formula>80</formula>
    </cfRule>
    <cfRule type="cellIs" dxfId="1" priority="1" operator="lessThan">
      <formula>60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8FF5-26E6-4690-930B-AAF4905267F4}">
  <dimension ref="A1:B5"/>
  <sheetViews>
    <sheetView workbookViewId="0">
      <selection activeCell="J12" sqref="J12"/>
    </sheetView>
  </sheetViews>
  <sheetFormatPr defaultRowHeight="14.4" x14ac:dyDescent="0.3"/>
  <cols>
    <col min="1" max="1" width="12.6640625" customWidth="1"/>
    <col min="2" max="2" width="15.33203125" customWidth="1"/>
  </cols>
  <sheetData>
    <row r="1" spans="1:2" ht="28.8" x14ac:dyDescent="0.3">
      <c r="A1" s="2" t="s">
        <v>0</v>
      </c>
      <c r="B1" s="2" t="s">
        <v>18</v>
      </c>
    </row>
    <row r="2" spans="1:2" x14ac:dyDescent="0.3">
      <c r="A2" s="1" t="s">
        <v>4</v>
      </c>
      <c r="B2" s="1">
        <v>5000</v>
      </c>
    </row>
    <row r="3" spans="1:2" x14ac:dyDescent="0.3">
      <c r="A3" s="1" t="s">
        <v>10</v>
      </c>
      <c r="B3" s="1">
        <v>7000</v>
      </c>
    </row>
    <row r="4" spans="1:2" x14ac:dyDescent="0.3">
      <c r="A4" s="1" t="s">
        <v>15</v>
      </c>
      <c r="B4" s="1">
        <v>6000</v>
      </c>
    </row>
    <row r="5" spans="1:2" x14ac:dyDescent="0.3">
      <c r="A5" s="1" t="s">
        <v>14</v>
      </c>
      <c r="B5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Scholarship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Wadekar</dc:creator>
  <cp:lastModifiedBy>Medha Wadekar</cp:lastModifiedBy>
  <dcterms:created xsi:type="dcterms:W3CDTF">2026-02-15T14:53:36Z</dcterms:created>
  <dcterms:modified xsi:type="dcterms:W3CDTF">2026-02-15T17:11:47Z</dcterms:modified>
</cp:coreProperties>
</file>